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ll results" sheetId="2" state="visible" r:id="rId4"/>
    <sheet name="Prototype runs" sheetId="3" state="visible" r:id="rId5"/>
    <sheet name="Alloc traps" sheetId="4" state="visible" r:id="rId6"/>
    <sheet name="Notes" sheetId="5" state="visible" r:id="rId7"/>
  </sheets>
  <definedNames>
    <definedName function="false" hidden="true" localSheetId="1" name="_xlnm._FilterDatabase" vbProcedure="false">'All results'!$A$4:$E$31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<sst xmlns="http://schemas.openxmlformats.org/spreadsheetml/2006/main" count="168" uniqueCount="138">
  <si>
    <t xml:space="preserve">Hot-path cost per record: OTel Rust SDK vs per-core shards</t>
  </si>
  <si>
    <t xml:space="preserve">3 attributes, steady state. Green = linked from the measurement sheets; black = formula. Ratios are the useful part — absolute ns are from a slowish 2-vCPU VM.</t>
  </si>
  <si>
    <t xml:space="preserve">Path</t>
  </si>
  <si>
    <t xml:space="preserve">Kind</t>
  </si>
  <si>
    <t xml:space="preserve">1 thread ns/op</t>
  </si>
  <si>
    <t xml:space="preserve">2 threads, same series ns/op</t>
  </si>
  <si>
    <t xml:space="preserve">2 threads, distinct series ns/op</t>
  </si>
  <si>
    <t xml:space="preserve">allocs/op</t>
  </si>
  <si>
    <t xml:space="preserve">Contention slowdown (same series ÷ 1 thread)</t>
  </si>
  <si>
    <t xml:space="preserve">× slower than per-core prototype (1 thread)</t>
  </si>
  <si>
    <t xml:space="preserve">Counter add(1, &amp;attrs)</t>
  </si>
  <si>
    <t xml:space="preserve">SDK unbound</t>
  </si>
  <si>
    <t xml:space="preserve">Histogram record(v, &amp;attrs)</t>
  </si>
  <si>
    <t xml:space="preserve">Bound counter add</t>
  </si>
  <si>
    <t xml:space="preserve">SDK bound (experimental)</t>
  </si>
  <si>
    <t xml:space="preserve">Bound histogram record</t>
  </si>
  <si>
    <t xml:space="preserve">Per-core shard histogram</t>
  </si>
  <si>
    <t xml:space="preserve">Prototype</t>
  </si>
  <si>
    <t xml:space="preserve">n/a</t>
  </si>
  <si>
    <t xml:space="preserve">Shared AtomicU64 fetch_add</t>
  </si>
  <si>
    <t xml:space="preserve">Baseline</t>
  </si>
  <si>
    <t xml:space="preserve">Owned cell, relaxed load+store</t>
  </si>
  <si>
    <t xml:space="preserve">n/a = not measured for that configuration (the prototype has no shared lookup, so distinct vs same series behaves the same; the owned-cell baseline is single-writer by definition).</t>
  </si>
  <si>
    <t xml:space="preserve">Prototype numbers are the 3-run averages on 'Prototype runs' (the chat answer rounded them to ~5 / ~5.5 ns).</t>
  </si>
  <si>
    <t xml:space="preserve">OpenTelemetry Rust SDK 0.33.1 — full benchmark run (measured)</t>
  </si>
  <si>
    <t xml:space="preserve">Blue = measured value. 10M timed iterations per case after 1M warm-up; 2-thread rows report per-thread ns/op. See Notes for environment.</t>
  </si>
  <si>
    <t xml:space="preserve">Section</t>
  </si>
  <si>
    <t xml:space="preserve">Case</t>
  </si>
  <si>
    <t xml:space="preserve">Threads</t>
  </si>
  <si>
    <t xml:space="preserve">ns/op</t>
  </si>
  <si>
    <t xml:space="preserve">baselines (single thread)</t>
  </si>
  <si>
    <t xml:space="preserve">plain u64 += 1 (per-core cell, owned)</t>
  </si>
  <si>
    <t xml:space="preserve">AtomicU64 relaxed load+store (single writer)</t>
  </si>
  <si>
    <t xml:space="preserve">AtomicU64 fetch_add (uncontended)</t>
  </si>
  <si>
    <t xml:space="preserve">Counter&lt;u64&gt;, cumulative</t>
  </si>
  <si>
    <t xml:space="preserve">add(1, &amp;[])</t>
  </si>
  <si>
    <t xml:space="preserve">add(1, &amp;STATIC_ATTRS[3])  (prebuilt slice)</t>
  </si>
  <si>
    <t xml:space="preserve">add(1, &amp;[KeyValue::new(&amp;'static str)..3])  inline</t>
  </si>
  <si>
    <t xml:space="preserve">inline attrs, 1 value is Arc&lt;str&gt;.clone()</t>
  </si>
  <si>
    <t xml:space="preserve">inline attrs, 1 value is String.clone()</t>
  </si>
  <si>
    <t xml:space="preserve">same attrs, different order than first-seen</t>
  </si>
  <si>
    <t xml:space="preserve">4 attrs (other series), prebuilt</t>
  </si>
  <si>
    <t xml:space="preserve">Counter&lt;u64&gt;, delta</t>
  </si>
  <si>
    <t xml:space="preserve">add(1, &amp;STATIC_ATTRS[3])</t>
  </si>
  <si>
    <t xml:space="preserve">f64 counter add(1.0, &amp;STATIC_ATTRS[3])  (CAS loop)</t>
  </si>
  <si>
    <t xml:space="preserve">Counter with a View (allowed_attribute_keys)</t>
  </si>
  <si>
    <t xml:space="preserve">add(1, &amp;STATIC_ATTRS[3])  with attr-filter view</t>
  </si>
  <si>
    <t xml:space="preserve">Histogram&lt;f64&gt; (default 15 buckets), cumulative</t>
  </si>
  <si>
    <t xml:space="preserve">record(v, &amp;STATIC_ATTRS[3])</t>
  </si>
  <si>
    <t xml:space="preserve">u64 record(v, &amp;STATIC_ATTRS[3])</t>
  </si>
  <si>
    <t xml:space="preserve">Bound instruments (experimental_metrics_bound_instruments)</t>
  </si>
  <si>
    <t xml:space="preserve">BoundCounter&lt;u64&gt;.add(1)</t>
  </si>
  <si>
    <t xml:space="preserve">BoundHistogram&lt;f64&gt;.record(v)</t>
  </si>
  <si>
    <t xml:space="preserve">contention: 2 threads</t>
  </si>
  <si>
    <t xml:space="preserve">baseline: per-thread padded cell, load+store</t>
  </si>
  <si>
    <t xml:space="preserve">baseline: shared AtomicU64 fetch_add</t>
  </si>
  <si>
    <t xml:space="preserve">unbound counter, SAME series</t>
  </si>
  <si>
    <t xml:space="preserve">unbound counter, DISTINCT series per thread</t>
  </si>
  <si>
    <t xml:space="preserve">bound counter, SAME series (shared handle)</t>
  </si>
  <si>
    <t xml:space="preserve">bound counter, DISTINCT series per thread</t>
  </si>
  <si>
    <t xml:space="preserve">unbound histogram, SAME series</t>
  </si>
  <si>
    <t xml:space="preserve">unbound histogram, DISTINCT series per thread</t>
  </si>
  <si>
    <t xml:space="preserve">bound histogram, SAME series</t>
  </si>
  <si>
    <t xml:space="preserve">bound histogram, DISTINCT series per thread</t>
  </si>
  <si>
    <t xml:space="preserve">Source: /home/claude/otelbench/src/main.rs, built with --release (LTO fat), run once.</t>
  </si>
  <si>
    <t xml:space="preserve">Per-core shard histogram prototype — 3 runs (measured)</t>
  </si>
  <si>
    <t xml:space="preserve">20M timed iterations per run; each thread writes only its own 128-byte-aligned shard of the same series.</t>
  </si>
  <si>
    <t xml:space="preserve">Run</t>
  </si>
  <si>
    <t xml:space="preserve">2 threads, same series ns/op (per thread)</t>
  </si>
  <si>
    <t xml:space="preserve">Run 1</t>
  </si>
  <si>
    <t xml:space="preserve">Run 2</t>
  </si>
  <si>
    <t xml:space="preserve">Run 3</t>
  </si>
  <si>
    <t xml:space="preserve">Average</t>
  </si>
  <si>
    <t xml:space="preserve">Source: /home/claude/otelbench/src/bin/percore.rs</t>
  </si>
  <si>
    <t xml:space="preserve">When the SDK allocates on the record path (1 alloc per call)</t>
  </si>
  <si>
    <t xml:space="preserve">Trigger</t>
  </si>
  <si>
    <t xml:space="preserve">Comparable no-alloc ns/op</t>
  </si>
  <si>
    <t xml:space="preserve">Slowdown</t>
  </si>
  <si>
    <t xml:space="preserve">Why (SDK 0.33.1 source)</t>
  </si>
  <si>
    <t xml:space="preserve">Avoid by</t>
  </si>
  <si>
    <t xml:space="preserve">Same attributes, different order than first-seen or sorted</t>
  </si>
  <si>
    <t xml:space="preserve">Lookup misses on the given order, then sort_and_dedup() copies the slice (to_vec) every call; only first-seen and sorted orders are inserted as keys.</t>
  </si>
  <si>
    <t xml:space="preserve">Always pass attributes in one fixed (ideally sorted) order.</t>
  </si>
  <si>
    <t xml:space="preserve">View with allowed_attribute_keys (unbound path)</t>
  </si>
  <si>
    <t xml:space="preserve">AttributeSetFilter::apply collects the filtered attributes into a new Vec on every call.</t>
  </si>
  <si>
    <t xml:space="preserve">Drop the view, or use bound instruments (filter applied once at bind).</t>
  </si>
  <si>
    <t xml:space="preserve">Attribute value is a String (caller-side clone)</t>
  </si>
  <si>
    <t xml:space="preserve">KeyValue::new(String) owns the string; the clone is a heap allocation before the SDK is even called.</t>
  </si>
  <si>
    <t xml:space="preserve">Use &amp;'static str, or Arc&lt;str&gt; (0 allocs, refcount cost instead).</t>
  </si>
  <si>
    <t xml:space="preserve">Attribute value is Arc&lt;str&gt; (for comparison)</t>
  </si>
  <si>
    <t xml:space="preserve">No allocation; the extra cost is the atomic refcount inc/dec.</t>
  </si>
  <si>
    <t xml:space="preserve">Fine; prebuilt KeyValue slices are cheapest.</t>
  </si>
  <si>
    <t xml:space="preserve">Not a cost on the record path: the Rust SDK reads no Context and records no exemplars.</t>
  </si>
  <si>
    <t xml:space="preserve">First record of a new series allocates (map insert) — expected, one-time.</t>
  </si>
  <si>
    <t xml:space="preserve">Context, findings and sources</t>
  </si>
  <si>
    <t xml:space="preserve">Environment</t>
  </si>
  <si>
    <t xml:space="preserve">SDK</t>
  </si>
  <si>
    <t xml:space="preserve">opentelemetry / opentelemetry_sdk tag opentelemetry_sdk-0.33.1, features metrics, experimental_metrics_custom_reader, experimental_metrics_bound_instruments, spec_unstable_metrics_views</t>
  </si>
  <si>
    <t xml:space="preserve">Toolchain</t>
  </si>
  <si>
    <t xml:space="preserve">rustc/cargo 1.97.0, --release, lto = "fat", codegen-units = 1</t>
  </si>
  <si>
    <t xml:space="preserve">Hardware</t>
  </si>
  <si>
    <t xml:space="preserve">Cloud VM, Intel Xeon @ 2.80GHz, 2 vCPU (1 thread per core), no thread pinning</t>
  </si>
  <si>
    <t xml:space="preserve">Reader</t>
  </si>
  <si>
    <t xml:space="preserve">ManualReader; cumulative temporality unless the row says delta</t>
  </si>
  <si>
    <t xml:space="preserve">Why the SDK path costs what it does</t>
  </si>
  <si>
    <t xml:space="preserve">Unbound lookup</t>
  </si>
  <si>
    <t xml:space="preserve">Every call: RwLock read on a per-instrument HashMap&lt;Vec&lt;KeyValue&gt;, Arc&lt;Tracker&gt;&gt; plus SipHash over every attribute string.</t>
  </si>
  <si>
    <t xml:space="preserve">Shared reader count</t>
  </si>
  <si>
    <t xml:space="preserve">The RwLock reader count is shared by every series of an instrument, so per-thread series still bounce a cache line.</t>
  </si>
  <si>
    <t xml:space="preserve">Histogram lock</t>
  </si>
  <si>
    <t xml:space="preserve">Each series is a Mutex&lt;Buckets&gt;; the bound handle skips the lookup but still takes that lock.</t>
  </si>
  <si>
    <t xml:space="preserve">Bound handle extras</t>
  </si>
  <si>
    <t xml:space="preserve">Every record also does an atomic RMW plus a Release store to has_been_updated.</t>
  </si>
  <si>
    <t xml:space="preserve">Per-core prototype design</t>
  </si>
  <si>
    <t xml:space="preserve">Series</t>
  </si>
  <si>
    <t xml:space="preserve">Resolve attributes to a series once at setup; per-core handle is !Send.</t>
  </si>
  <si>
    <t xml:space="preserve">Shards</t>
  </si>
  <si>
    <t xml:space="preserve">One 128-byte-aligned shard per core; the owning core is the only writer, so increments are relaxed load + store (no lock-prefixed RMW).</t>
  </si>
  <si>
    <t xml:space="preserve">Sum</t>
  </si>
  <si>
    <t xml:space="preserve">Keep it as an integer (e.g. microseconds) rather than f64.</t>
  </si>
  <si>
    <t xml:space="preserve">Export</t>
  </si>
  <si>
    <t xml:space="preserve">Collector sums shards with relaxed loads; export count = sum of buckets so an in-flight snapshot stays self-consistent.</t>
  </si>
  <si>
    <t xml:space="preserve">Exporting from Rust</t>
  </si>
  <si>
    <t xml:space="preserve">The catch</t>
  </si>
  <si>
    <t xml:space="preserve">The SDK has no MetricProducer and its data types (HistogramDataPoint, Metric, ...) have pub(crate) fields, so externally aggregated histograms can't be injected into the SDK pipeline (unlike Go's prometheus.WithProducer used in Oxia #1457).</t>
  </si>
  <si>
    <t xml:space="preserve">Option: own the export</t>
  </si>
  <si>
    <t xml:space="preserve">Build OTLP messages with opentelemetry-proto (public prost structs), or serve Prometheus text yourself.</t>
  </si>
  <si>
    <t xml:space="preserve">Option: hybrid</t>
  </si>
  <si>
    <t xml:space="preserve">Counters through the SDK as observable counters summing per-core cells; only histograms need your own exporter.</t>
  </si>
  <si>
    <t xml:space="preserve">Option: upstream</t>
  </si>
  <si>
    <t xml:space="preserve">Add MetricProducer support to opentelemetry-rust; the spec defines it.</t>
  </si>
  <si>
    <t xml:space="preserve">Sources</t>
  </si>
  <si>
    <t xml:space="preserve">Oxia PR</t>
  </si>
  <si>
    <t xml:space="preserve">https://github.com/oxia-db/oxia/pull/1457</t>
  </si>
  <si>
    <t xml:space="preserve">SDK source</t>
  </si>
  <si>
    <t xml:space="preserve">opentelemetry-rust @ opentelemetry_sdk-0.33.1: opentelemetry-sdk/src/metrics/internal/{mod,sum,histogram,aggregate}.rs, metrics/data/mod.rs, benches/bound_instruments.rs</t>
  </si>
  <si>
    <t xml:space="preserve">Benchmarks</t>
  </si>
  <si>
    <t xml:space="preserve">/home/claude/otelbench/src/main.rs and /home/claude/otelbench/src/bin/percore.rs</t>
  </si>
</sst>
</file>

<file path=xl/styles.xml><?xml version="1.0" encoding="utf-8"?>
<styleSheet xmlns="http://schemas.openxmlformats.org/spreadsheetml/2006/main">
  <numFmts count="4">
    <numFmt numFmtId="164" formatCode="General"/>
    <numFmt numFmtId="165" formatCode="0.0"/>
    <numFmt numFmtId="166" formatCode="0.00"/>
    <numFmt numFmtId="167" formatCode="0.0\x"/>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1"/>
      <color rgb="FFFFFFFF"/>
      <name val="Arial"/>
      <family val="0"/>
      <charset val="1"/>
    </font>
    <font>
      <sz val="11"/>
      <name val="Arial"/>
      <family val="0"/>
      <charset val="1"/>
    </font>
    <font>
      <sz val="11"/>
      <color rgb="FF008000"/>
      <name val="Arial"/>
      <family val="0"/>
      <charset val="1"/>
    </font>
    <font>
      <b val="true"/>
      <sz val="11"/>
      <name val="Arial"/>
      <family val="0"/>
      <charset val="1"/>
    </font>
    <font>
      <sz val="11"/>
      <color rgb="FF0000FF"/>
      <name val="Arial"/>
      <family val="0"/>
      <charset val="1"/>
    </font>
    <font>
      <b val="true"/>
      <sz val="11"/>
      <color rgb="FF1F3864"/>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E2EFDA"/>
        <bgColor rgb="FFFFFFCC"/>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right" vertical="bottom" textRotation="0" wrapText="false" indent="0" shrinkToFit="false"/>
      <protection locked="true" hidden="false"/>
    </xf>
    <xf numFmtId="166" fontId="8" fillId="0" borderId="0" xfId="0" applyFont="true" applyBorder="false" applyAlignment="true" applyProtection="false">
      <alignment horizontal="right" vertical="bottom" textRotation="0" wrapText="false" indent="0" shrinkToFit="false"/>
      <protection locked="true" hidden="false"/>
    </xf>
    <xf numFmtId="167" fontId="7" fillId="0" borderId="0" xfId="0" applyFont="true" applyBorder="false" applyAlignment="true" applyProtection="false">
      <alignment horizontal="right"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true" applyProtection="false">
      <alignment horizontal="right" vertical="bottom" textRotation="0" wrapText="false" indent="0" shrinkToFit="false"/>
      <protection locked="true" hidden="false"/>
    </xf>
    <xf numFmtId="165" fontId="5" fillId="3" borderId="0" xfId="0" applyFont="true" applyBorder="false" applyAlignment="true" applyProtection="false">
      <alignment horizontal="right" vertical="bottom" textRotation="0" wrapText="false" indent="0" shrinkToFit="false"/>
      <protection locked="true" hidden="false"/>
    </xf>
    <xf numFmtId="166" fontId="8" fillId="3" borderId="0" xfId="0" applyFont="true" applyBorder="false" applyAlignment="true" applyProtection="false">
      <alignment horizontal="right" vertical="bottom" textRotation="0" wrapText="false" indent="0" shrinkToFit="false"/>
      <protection locked="true" hidden="false"/>
    </xf>
    <xf numFmtId="167" fontId="7" fillId="3" borderId="0" xfId="0" applyFont="true" applyBorder="false" applyAlignment="true" applyProtection="false">
      <alignment horizontal="right" vertical="bottom" textRotation="0" wrapText="false" indent="0" shrinkToFit="false"/>
      <protection locked="true" hidden="false"/>
    </xf>
    <xf numFmtId="167" fontId="7" fillId="3"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true" applyProtection="false">
      <alignment horizontal="general" vertical="top" textRotation="0" wrapText="false" indent="0" shrinkToFit="false"/>
      <protection locked="true" hidden="false"/>
    </xf>
    <xf numFmtId="166" fontId="8" fillId="0" borderId="0" xfId="0" applyFont="tru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4"/>
    <col collapsed="false" customWidth="true" hidden="false" outlineLevel="0" max="3" min="3" style="0" width="12"/>
    <col collapsed="false" customWidth="true" hidden="false" outlineLevel="0" max="5" min="4" style="0" width="16"/>
    <col collapsed="false" customWidth="true" hidden="false" outlineLevel="0" max="6" min="6" style="0" width="10"/>
    <col collapsed="false" customWidth="true" hidden="false" outlineLevel="0" max="8" min="7" style="0" width="20"/>
  </cols>
  <sheetData>
    <row r="1" customFormat="false" ht="17.35" hidden="false" customHeight="false" outlineLevel="0" collapsed="false">
      <c r="A1" s="1" t="s">
        <v>0</v>
      </c>
    </row>
    <row r="2" customFormat="false" ht="15" hidden="false" customHeight="false" outlineLevel="0" collapsed="false">
      <c r="A2" s="2" t="s">
        <v>1</v>
      </c>
    </row>
    <row r="4" customFormat="false" ht="31.5" hidden="false" customHeight="true" outlineLevel="0" collapsed="false">
      <c r="A4" s="3" t="s">
        <v>2</v>
      </c>
      <c r="B4" s="3" t="s">
        <v>3</v>
      </c>
      <c r="C4" s="3" t="s">
        <v>4</v>
      </c>
      <c r="D4" s="3" t="s">
        <v>5</v>
      </c>
      <c r="E4" s="3" t="s">
        <v>6</v>
      </c>
      <c r="F4" s="3" t="s">
        <v>7</v>
      </c>
      <c r="G4" s="3" t="s">
        <v>8</v>
      </c>
      <c r="H4" s="3" t="s">
        <v>9</v>
      </c>
    </row>
    <row r="5" customFormat="false" ht="15" hidden="false" customHeight="false" outlineLevel="0" collapsed="false">
      <c r="A5" s="4" t="s">
        <v>10</v>
      </c>
      <c r="B5" s="4" t="s">
        <v>11</v>
      </c>
      <c r="C5" s="5" t="n">
        <f aca="false">'All results'!D9</f>
        <v>167.2</v>
      </c>
      <c r="D5" s="5" t="n">
        <f aca="false">'All results'!D24</f>
        <v>457.8</v>
      </c>
      <c r="E5" s="5" t="n">
        <f aca="false">'All results'!D25</f>
        <v>409.5</v>
      </c>
      <c r="F5" s="6" t="n">
        <f aca="false">'All results'!E9</f>
        <v>0</v>
      </c>
      <c r="G5" s="7" t="n">
        <f aca="false">IF(ISNUMBER(D5),D5/C5,"n/a")</f>
        <v>2.73803827751196</v>
      </c>
      <c r="H5" s="8" t="n">
        <f aca="false">C5/$C$9</f>
        <v>32.1538461538462</v>
      </c>
    </row>
    <row r="6" customFormat="false" ht="15" hidden="false" customHeight="false" outlineLevel="0" collapsed="false">
      <c r="A6" s="4" t="s">
        <v>12</v>
      </c>
      <c r="B6" s="4" t="s">
        <v>11</v>
      </c>
      <c r="C6" s="5" t="n">
        <f aca="false">'All results'!D18</f>
        <v>180.2</v>
      </c>
      <c r="D6" s="5" t="n">
        <f aca="false">'All results'!D28</f>
        <v>856.4</v>
      </c>
      <c r="E6" s="5" t="n">
        <f aca="false">'All results'!D29</f>
        <v>607.9</v>
      </c>
      <c r="F6" s="6" t="n">
        <f aca="false">'All results'!E18</f>
        <v>0</v>
      </c>
      <c r="G6" s="7" t="n">
        <f aca="false">IF(ISNUMBER(D6),D6/C6,"n/a")</f>
        <v>4.75249722530522</v>
      </c>
      <c r="H6" s="8" t="n">
        <f aca="false">C6/$C$9</f>
        <v>34.6538461538462</v>
      </c>
    </row>
    <row r="7" customFormat="false" ht="15" hidden="false" customHeight="false" outlineLevel="0" collapsed="false">
      <c r="A7" s="4" t="s">
        <v>13</v>
      </c>
      <c r="B7" s="4" t="s">
        <v>14</v>
      </c>
      <c r="C7" s="5" t="n">
        <f aca="false">'All results'!D20</f>
        <v>13.3</v>
      </c>
      <c r="D7" s="5" t="n">
        <f aca="false">'All results'!D26</f>
        <v>41</v>
      </c>
      <c r="E7" s="5" t="n">
        <f aca="false">'All results'!D27</f>
        <v>10.1</v>
      </c>
      <c r="F7" s="6" t="n">
        <f aca="false">'All results'!E20</f>
        <v>0</v>
      </c>
      <c r="G7" s="7" t="n">
        <f aca="false">IF(ISNUMBER(D7),D7/C7,"n/a")</f>
        <v>3.08270676691729</v>
      </c>
      <c r="H7" s="8" t="n">
        <f aca="false">C7/$C$9</f>
        <v>2.55769230769231</v>
      </c>
    </row>
    <row r="8" customFormat="false" ht="15" hidden="false" customHeight="false" outlineLevel="0" collapsed="false">
      <c r="A8" s="4" t="s">
        <v>15</v>
      </c>
      <c r="B8" s="4" t="s">
        <v>14</v>
      </c>
      <c r="C8" s="5" t="n">
        <f aca="false">'All results'!D21</f>
        <v>30.8</v>
      </c>
      <c r="D8" s="5" t="n">
        <f aca="false">'All results'!D30</f>
        <v>185.4</v>
      </c>
      <c r="E8" s="5" t="n">
        <f aca="false">'All results'!D31</f>
        <v>26.8</v>
      </c>
      <c r="F8" s="6" t="n">
        <f aca="false">'All results'!E21</f>
        <v>0</v>
      </c>
      <c r="G8" s="7" t="n">
        <f aca="false">IF(ISNUMBER(D8),D8/C8,"n/a")</f>
        <v>6.01948051948052</v>
      </c>
      <c r="H8" s="8" t="n">
        <f aca="false">C8/$C$9</f>
        <v>5.92307692307692</v>
      </c>
    </row>
    <row r="9" customFormat="false" ht="15" hidden="false" customHeight="false" outlineLevel="0" collapsed="false">
      <c r="A9" s="9" t="s">
        <v>16</v>
      </c>
      <c r="B9" s="10" t="s">
        <v>17</v>
      </c>
      <c r="C9" s="11" t="n">
        <f aca="false">'Prototype runs'!B8</f>
        <v>5.2</v>
      </c>
      <c r="D9" s="11" t="n">
        <f aca="false">'Prototype runs'!C8</f>
        <v>5.93333333333333</v>
      </c>
      <c r="E9" s="12" t="s">
        <v>18</v>
      </c>
      <c r="F9" s="13" t="n">
        <f aca="false">'Prototype runs'!D8</f>
        <v>0</v>
      </c>
      <c r="G9" s="14" t="n">
        <f aca="false">IF(ISNUMBER(D9),D9/C9,"n/a")</f>
        <v>1.14102564102564</v>
      </c>
      <c r="H9" s="15" t="n">
        <f aca="false">C9/$C$9</f>
        <v>1</v>
      </c>
    </row>
    <row r="10" customFormat="false" ht="15" hidden="false" customHeight="false" outlineLevel="0" collapsed="false">
      <c r="A10" s="4" t="s">
        <v>19</v>
      </c>
      <c r="B10" s="4" t="s">
        <v>20</v>
      </c>
      <c r="C10" s="5" t="n">
        <f aca="false">'All results'!D7</f>
        <v>6</v>
      </c>
      <c r="D10" s="5" t="n">
        <f aca="false">'All results'!D23</f>
        <v>21.1</v>
      </c>
      <c r="E10" s="16" t="s">
        <v>18</v>
      </c>
      <c r="F10" s="6" t="n">
        <f aca="false">'All results'!E7</f>
        <v>0</v>
      </c>
      <c r="G10" s="7" t="n">
        <f aca="false">IF(ISNUMBER(D10),D10/C10,"n/a")</f>
        <v>3.51666666666667</v>
      </c>
      <c r="H10" s="8" t="n">
        <f aca="false">C10/$C$9</f>
        <v>1.15384615384615</v>
      </c>
    </row>
    <row r="11" customFormat="false" ht="15" hidden="false" customHeight="false" outlineLevel="0" collapsed="false">
      <c r="A11" s="4" t="s">
        <v>21</v>
      </c>
      <c r="B11" s="4" t="s">
        <v>20</v>
      </c>
      <c r="C11" s="5" t="n">
        <f aca="false">'All results'!D6</f>
        <v>1.4</v>
      </c>
      <c r="D11" s="16" t="s">
        <v>18</v>
      </c>
      <c r="E11" s="5" t="n">
        <f aca="false">'All results'!D22</f>
        <v>2.4</v>
      </c>
      <c r="F11" s="6" t="n">
        <f aca="false">'All results'!E6</f>
        <v>0</v>
      </c>
      <c r="G11" s="7" t="str">
        <f aca="false">IF(ISNUMBER(D11),D11/C11,"n/a")</f>
        <v>n/a</v>
      </c>
      <c r="H11" s="8" t="n">
        <f aca="false">C11/$C$9</f>
        <v>0.269230769230769</v>
      </c>
    </row>
    <row r="13" customFormat="false" ht="15" hidden="false" customHeight="false" outlineLevel="0" collapsed="false">
      <c r="A13" s="2" t="s">
        <v>22</v>
      </c>
    </row>
    <row r="14" customFormat="false" ht="15" hidden="false" customHeight="false" outlineLevel="0" collapsed="false">
      <c r="A14" s="2"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2"/>
    <col collapsed="false" customWidth="true" hidden="false" outlineLevel="0" max="3" min="3" style="0" width="9"/>
    <col collapsed="false" customWidth="true" hidden="false" outlineLevel="0" max="5" min="4" style="0" width="10"/>
  </cols>
  <sheetData>
    <row r="1" customFormat="false" ht="17.35" hidden="false" customHeight="false" outlineLevel="0" collapsed="false">
      <c r="A1" s="1" t="s">
        <v>24</v>
      </c>
    </row>
    <row r="2" customFormat="false" ht="15" hidden="false" customHeight="false" outlineLevel="0" collapsed="false">
      <c r="A2" s="2" t="s">
        <v>25</v>
      </c>
    </row>
    <row r="4" customFormat="false" ht="31.5" hidden="false" customHeight="true" outlineLevel="0" collapsed="false">
      <c r="A4" s="3" t="s">
        <v>26</v>
      </c>
      <c r="B4" s="3" t="s">
        <v>27</v>
      </c>
      <c r="C4" s="3" t="s">
        <v>28</v>
      </c>
      <c r="D4" s="3" t="s">
        <v>29</v>
      </c>
      <c r="E4" s="3" t="s">
        <v>7</v>
      </c>
    </row>
    <row r="5" customFormat="false" ht="15" hidden="false" customHeight="false" outlineLevel="0" collapsed="false">
      <c r="A5" s="4" t="s">
        <v>30</v>
      </c>
      <c r="B5" s="4" t="s">
        <v>31</v>
      </c>
      <c r="C5" s="4" t="n">
        <v>1</v>
      </c>
      <c r="D5" s="17" t="n">
        <v>2.2</v>
      </c>
      <c r="E5" s="18" t="n">
        <v>0</v>
      </c>
    </row>
    <row r="6" customFormat="false" ht="15" hidden="false" customHeight="false" outlineLevel="0" collapsed="false">
      <c r="A6" s="4" t="s">
        <v>30</v>
      </c>
      <c r="B6" s="4" t="s">
        <v>32</v>
      </c>
      <c r="C6" s="4" t="n">
        <v>1</v>
      </c>
      <c r="D6" s="17" t="n">
        <v>1.4</v>
      </c>
      <c r="E6" s="18" t="n">
        <v>0</v>
      </c>
    </row>
    <row r="7" customFormat="false" ht="15" hidden="false" customHeight="false" outlineLevel="0" collapsed="false">
      <c r="A7" s="4" t="s">
        <v>30</v>
      </c>
      <c r="B7" s="4" t="s">
        <v>33</v>
      </c>
      <c r="C7" s="4" t="n">
        <v>1</v>
      </c>
      <c r="D7" s="17" t="n">
        <v>6</v>
      </c>
      <c r="E7" s="18" t="n">
        <v>0</v>
      </c>
    </row>
    <row r="8" customFormat="false" ht="15" hidden="false" customHeight="false" outlineLevel="0" collapsed="false">
      <c r="A8" s="4" t="s">
        <v>34</v>
      </c>
      <c r="B8" s="4" t="s">
        <v>35</v>
      </c>
      <c r="C8" s="4" t="n">
        <v>1</v>
      </c>
      <c r="D8" s="17" t="n">
        <v>14.5</v>
      </c>
      <c r="E8" s="18" t="n">
        <v>0</v>
      </c>
    </row>
    <row r="9" customFormat="false" ht="15" hidden="false" customHeight="false" outlineLevel="0" collapsed="false">
      <c r="A9" s="4" t="s">
        <v>34</v>
      </c>
      <c r="B9" s="4" t="s">
        <v>36</v>
      </c>
      <c r="C9" s="4" t="n">
        <v>1</v>
      </c>
      <c r="D9" s="17" t="n">
        <v>167.2</v>
      </c>
      <c r="E9" s="18" t="n">
        <v>0</v>
      </c>
    </row>
    <row r="10" customFormat="false" ht="15" hidden="false" customHeight="false" outlineLevel="0" collapsed="false">
      <c r="A10" s="4" t="s">
        <v>34</v>
      </c>
      <c r="B10" s="4" t="s">
        <v>37</v>
      </c>
      <c r="C10" s="4" t="n">
        <v>1</v>
      </c>
      <c r="D10" s="17" t="n">
        <v>159.4</v>
      </c>
      <c r="E10" s="18" t="n">
        <v>0</v>
      </c>
    </row>
    <row r="11" customFormat="false" ht="15" hidden="false" customHeight="false" outlineLevel="0" collapsed="false">
      <c r="A11" s="4" t="s">
        <v>34</v>
      </c>
      <c r="B11" s="4" t="s">
        <v>38</v>
      </c>
      <c r="C11" s="4" t="n">
        <v>1</v>
      </c>
      <c r="D11" s="17" t="n">
        <v>193.8</v>
      </c>
      <c r="E11" s="18" t="n">
        <v>0</v>
      </c>
    </row>
    <row r="12" customFormat="false" ht="15" hidden="false" customHeight="false" outlineLevel="0" collapsed="false">
      <c r="A12" s="4" t="s">
        <v>34</v>
      </c>
      <c r="B12" s="4" t="s">
        <v>39</v>
      </c>
      <c r="C12" s="4" t="n">
        <v>1</v>
      </c>
      <c r="D12" s="17" t="n">
        <v>193.2</v>
      </c>
      <c r="E12" s="18" t="n">
        <v>1</v>
      </c>
    </row>
    <row r="13" customFormat="false" ht="15" hidden="false" customHeight="false" outlineLevel="0" collapsed="false">
      <c r="A13" s="4" t="s">
        <v>34</v>
      </c>
      <c r="B13" s="4" t="s">
        <v>40</v>
      </c>
      <c r="C13" s="4" t="n">
        <v>1</v>
      </c>
      <c r="D13" s="17" t="n">
        <v>391.2</v>
      </c>
      <c r="E13" s="18" t="n">
        <v>1</v>
      </c>
    </row>
    <row r="14" customFormat="false" ht="15" hidden="false" customHeight="false" outlineLevel="0" collapsed="false">
      <c r="A14" s="4" t="s">
        <v>34</v>
      </c>
      <c r="B14" s="4" t="s">
        <v>41</v>
      </c>
      <c r="C14" s="4" t="n">
        <v>1</v>
      </c>
      <c r="D14" s="17" t="n">
        <v>182.7</v>
      </c>
      <c r="E14" s="18" t="n">
        <v>0</v>
      </c>
    </row>
    <row r="15" customFormat="false" ht="15" hidden="false" customHeight="false" outlineLevel="0" collapsed="false">
      <c r="A15" s="4" t="s">
        <v>42</v>
      </c>
      <c r="B15" s="4" t="s">
        <v>43</v>
      </c>
      <c r="C15" s="4" t="n">
        <v>1</v>
      </c>
      <c r="D15" s="17" t="n">
        <v>148.3</v>
      </c>
      <c r="E15" s="18" t="n">
        <v>0</v>
      </c>
    </row>
    <row r="16" customFormat="false" ht="15" hidden="false" customHeight="false" outlineLevel="0" collapsed="false">
      <c r="A16" s="4" t="s">
        <v>42</v>
      </c>
      <c r="B16" s="4" t="s">
        <v>44</v>
      </c>
      <c r="C16" s="4" t="n">
        <v>1</v>
      </c>
      <c r="D16" s="17" t="n">
        <v>157.8</v>
      </c>
      <c r="E16" s="18" t="n">
        <v>0</v>
      </c>
    </row>
    <row r="17" customFormat="false" ht="15" hidden="false" customHeight="false" outlineLevel="0" collapsed="false">
      <c r="A17" s="4" t="s">
        <v>45</v>
      </c>
      <c r="B17" s="4" t="s">
        <v>46</v>
      </c>
      <c r="C17" s="4" t="n">
        <v>1</v>
      </c>
      <c r="D17" s="17" t="n">
        <v>287.8</v>
      </c>
      <c r="E17" s="18" t="n">
        <v>1</v>
      </c>
    </row>
    <row r="18" customFormat="false" ht="15" hidden="false" customHeight="false" outlineLevel="0" collapsed="false">
      <c r="A18" s="4" t="s">
        <v>47</v>
      </c>
      <c r="B18" s="4" t="s">
        <v>48</v>
      </c>
      <c r="C18" s="4" t="n">
        <v>1</v>
      </c>
      <c r="D18" s="17" t="n">
        <v>180.2</v>
      </c>
      <c r="E18" s="18" t="n">
        <v>0</v>
      </c>
    </row>
    <row r="19" customFormat="false" ht="15" hidden="false" customHeight="false" outlineLevel="0" collapsed="false">
      <c r="A19" s="4" t="s">
        <v>47</v>
      </c>
      <c r="B19" s="4" t="s">
        <v>49</v>
      </c>
      <c r="C19" s="4" t="n">
        <v>1</v>
      </c>
      <c r="D19" s="17" t="n">
        <v>197.2</v>
      </c>
      <c r="E19" s="18" t="n">
        <v>0</v>
      </c>
    </row>
    <row r="20" customFormat="false" ht="15" hidden="false" customHeight="false" outlineLevel="0" collapsed="false">
      <c r="A20" s="4" t="s">
        <v>50</v>
      </c>
      <c r="B20" s="4" t="s">
        <v>51</v>
      </c>
      <c r="C20" s="4" t="n">
        <v>1</v>
      </c>
      <c r="D20" s="17" t="n">
        <v>13.3</v>
      </c>
      <c r="E20" s="18" t="n">
        <v>0</v>
      </c>
    </row>
    <row r="21" customFormat="false" ht="15" hidden="false" customHeight="false" outlineLevel="0" collapsed="false">
      <c r="A21" s="4" t="s">
        <v>50</v>
      </c>
      <c r="B21" s="4" t="s">
        <v>52</v>
      </c>
      <c r="C21" s="4" t="n">
        <v>1</v>
      </c>
      <c r="D21" s="17" t="n">
        <v>30.8</v>
      </c>
      <c r="E21" s="18" t="n">
        <v>0</v>
      </c>
    </row>
    <row r="22" customFormat="false" ht="15" hidden="false" customHeight="false" outlineLevel="0" collapsed="false">
      <c r="A22" s="4" t="s">
        <v>53</v>
      </c>
      <c r="B22" s="4" t="s">
        <v>54</v>
      </c>
      <c r="C22" s="4" t="n">
        <v>2</v>
      </c>
      <c r="D22" s="17" t="n">
        <v>2.4</v>
      </c>
      <c r="E22" s="18" t="n">
        <v>0</v>
      </c>
    </row>
    <row r="23" customFormat="false" ht="15" hidden="false" customHeight="false" outlineLevel="0" collapsed="false">
      <c r="A23" s="4" t="s">
        <v>53</v>
      </c>
      <c r="B23" s="4" t="s">
        <v>55</v>
      </c>
      <c r="C23" s="4" t="n">
        <v>2</v>
      </c>
      <c r="D23" s="17" t="n">
        <v>21.1</v>
      </c>
      <c r="E23" s="18" t="n">
        <v>0</v>
      </c>
    </row>
    <row r="24" customFormat="false" ht="15" hidden="false" customHeight="false" outlineLevel="0" collapsed="false">
      <c r="A24" s="4" t="s">
        <v>53</v>
      </c>
      <c r="B24" s="4" t="s">
        <v>56</v>
      </c>
      <c r="C24" s="4" t="n">
        <v>2</v>
      </c>
      <c r="D24" s="17" t="n">
        <v>457.8</v>
      </c>
      <c r="E24" s="18" t="n">
        <v>0</v>
      </c>
    </row>
    <row r="25" customFormat="false" ht="15" hidden="false" customHeight="false" outlineLevel="0" collapsed="false">
      <c r="A25" s="4" t="s">
        <v>53</v>
      </c>
      <c r="B25" s="4" t="s">
        <v>57</v>
      </c>
      <c r="C25" s="4" t="n">
        <v>2</v>
      </c>
      <c r="D25" s="17" t="n">
        <v>409.5</v>
      </c>
      <c r="E25" s="18" t="n">
        <v>0</v>
      </c>
    </row>
    <row r="26" customFormat="false" ht="15" hidden="false" customHeight="false" outlineLevel="0" collapsed="false">
      <c r="A26" s="4" t="s">
        <v>53</v>
      </c>
      <c r="B26" s="4" t="s">
        <v>58</v>
      </c>
      <c r="C26" s="4" t="n">
        <v>2</v>
      </c>
      <c r="D26" s="17" t="n">
        <v>41</v>
      </c>
      <c r="E26" s="18" t="n">
        <v>0</v>
      </c>
    </row>
    <row r="27" customFormat="false" ht="15" hidden="false" customHeight="false" outlineLevel="0" collapsed="false">
      <c r="A27" s="4" t="s">
        <v>53</v>
      </c>
      <c r="B27" s="4" t="s">
        <v>59</v>
      </c>
      <c r="C27" s="4" t="n">
        <v>2</v>
      </c>
      <c r="D27" s="17" t="n">
        <v>10.1</v>
      </c>
      <c r="E27" s="18" t="n">
        <v>0</v>
      </c>
    </row>
    <row r="28" customFormat="false" ht="15" hidden="false" customHeight="false" outlineLevel="0" collapsed="false">
      <c r="A28" s="4" t="s">
        <v>53</v>
      </c>
      <c r="B28" s="4" t="s">
        <v>60</v>
      </c>
      <c r="C28" s="4" t="n">
        <v>2</v>
      </c>
      <c r="D28" s="17" t="n">
        <v>856.4</v>
      </c>
      <c r="E28" s="18" t="n">
        <v>0</v>
      </c>
    </row>
    <row r="29" customFormat="false" ht="15" hidden="false" customHeight="false" outlineLevel="0" collapsed="false">
      <c r="A29" s="4" t="s">
        <v>53</v>
      </c>
      <c r="B29" s="4" t="s">
        <v>61</v>
      </c>
      <c r="C29" s="4" t="n">
        <v>2</v>
      </c>
      <c r="D29" s="17" t="n">
        <v>607.9</v>
      </c>
      <c r="E29" s="18" t="n">
        <v>0</v>
      </c>
    </row>
    <row r="30" customFormat="false" ht="15" hidden="false" customHeight="false" outlineLevel="0" collapsed="false">
      <c r="A30" s="4" t="s">
        <v>53</v>
      </c>
      <c r="B30" s="4" t="s">
        <v>62</v>
      </c>
      <c r="C30" s="4" t="n">
        <v>2</v>
      </c>
      <c r="D30" s="17" t="n">
        <v>185.4</v>
      </c>
      <c r="E30" s="18" t="n">
        <v>0</v>
      </c>
    </row>
    <row r="31" customFormat="false" ht="15" hidden="false" customHeight="false" outlineLevel="0" collapsed="false">
      <c r="A31" s="4" t="s">
        <v>53</v>
      </c>
      <c r="B31" s="4" t="s">
        <v>63</v>
      </c>
      <c r="C31" s="4" t="n">
        <v>2</v>
      </c>
      <c r="D31" s="17" t="n">
        <v>26.8</v>
      </c>
      <c r="E31" s="18" t="n">
        <v>0</v>
      </c>
    </row>
    <row r="33" customFormat="false" ht="15" hidden="false" customHeight="false" outlineLevel="0" collapsed="false">
      <c r="A33" s="2" t="s">
        <v>64</v>
      </c>
    </row>
  </sheetData>
  <autoFilter ref="A4:E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11"/>
  </cols>
  <sheetData>
    <row r="1" customFormat="false" ht="17.35" hidden="false" customHeight="false" outlineLevel="0" collapsed="false">
      <c r="A1" s="1" t="s">
        <v>65</v>
      </c>
    </row>
    <row r="2" customFormat="false" ht="15" hidden="false" customHeight="false" outlineLevel="0" collapsed="false">
      <c r="A2" s="2" t="s">
        <v>66</v>
      </c>
    </row>
    <row r="4" customFormat="false" ht="31.5" hidden="false" customHeight="true" outlineLevel="0" collapsed="false">
      <c r="A4" s="3" t="s">
        <v>67</v>
      </c>
      <c r="B4" s="3" t="s">
        <v>4</v>
      </c>
      <c r="C4" s="3" t="s">
        <v>68</v>
      </c>
      <c r="D4" s="3" t="s">
        <v>7</v>
      </c>
    </row>
    <row r="5" customFormat="false" ht="15" hidden="false" customHeight="false" outlineLevel="0" collapsed="false">
      <c r="A5" s="4" t="s">
        <v>69</v>
      </c>
      <c r="B5" s="17" t="n">
        <v>4.9</v>
      </c>
      <c r="C5" s="17" t="n">
        <v>6.8</v>
      </c>
      <c r="D5" s="18" t="n">
        <v>0</v>
      </c>
    </row>
    <row r="6" customFormat="false" ht="15" hidden="false" customHeight="false" outlineLevel="0" collapsed="false">
      <c r="A6" s="4" t="s">
        <v>70</v>
      </c>
      <c r="B6" s="17" t="n">
        <v>5.7</v>
      </c>
      <c r="C6" s="17" t="n">
        <v>5.4</v>
      </c>
      <c r="D6" s="18" t="n">
        <v>0</v>
      </c>
    </row>
    <row r="7" customFormat="false" ht="15" hidden="false" customHeight="false" outlineLevel="0" collapsed="false">
      <c r="A7" s="4" t="s">
        <v>71</v>
      </c>
      <c r="B7" s="17" t="n">
        <v>5</v>
      </c>
      <c r="C7" s="17" t="n">
        <v>5.6</v>
      </c>
      <c r="D7" s="18" t="n">
        <v>0</v>
      </c>
    </row>
    <row r="8" customFormat="false" ht="15" hidden="false" customHeight="false" outlineLevel="0" collapsed="false">
      <c r="A8" s="19" t="s">
        <v>72</v>
      </c>
      <c r="B8" s="20" t="n">
        <f aca="false">AVERAGE(B5:B7)</f>
        <v>5.2</v>
      </c>
      <c r="C8" s="20" t="n">
        <f aca="false">AVERAGE(C5:C7)</f>
        <v>5.93333333333333</v>
      </c>
      <c r="D8" s="21" t="n">
        <f aca="false">AVERAGE(D5:D7)</f>
        <v>0</v>
      </c>
    </row>
    <row r="10" customFormat="false" ht="15" hidden="false" customHeight="false" outlineLevel="0" collapsed="false">
      <c r="A10" s="2"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9"/>
    <col collapsed="false" customWidth="true" hidden="false" outlineLevel="0" max="3" min="3" style="0" width="10"/>
    <col collapsed="false" customWidth="true" hidden="false" outlineLevel="0" max="4" min="4" style="0" width="14"/>
    <col collapsed="false" customWidth="true" hidden="false" outlineLevel="0" max="5" min="5" style="0" width="10"/>
    <col collapsed="false" customWidth="true" hidden="false" outlineLevel="0" max="6" min="6" style="0" width="52"/>
    <col collapsed="false" customWidth="true" hidden="false" outlineLevel="0" max="7" min="7" style="0" width="40"/>
  </cols>
  <sheetData>
    <row r="1" customFormat="false" ht="17.35" hidden="false" customHeight="false" outlineLevel="0" collapsed="false">
      <c r="A1" s="1" t="s">
        <v>74</v>
      </c>
    </row>
    <row r="3" customFormat="false" ht="31.5" hidden="false" customHeight="true" outlineLevel="0" collapsed="false">
      <c r="A3" s="3" t="s">
        <v>75</v>
      </c>
      <c r="B3" s="3" t="s">
        <v>29</v>
      </c>
      <c r="C3" s="3" t="s">
        <v>7</v>
      </c>
      <c r="D3" s="3" t="s">
        <v>76</v>
      </c>
      <c r="E3" s="3" t="s">
        <v>77</v>
      </c>
      <c r="F3" s="3" t="s">
        <v>78</v>
      </c>
      <c r="G3" s="3" t="s">
        <v>79</v>
      </c>
    </row>
    <row r="4" customFormat="false" ht="39.55" hidden="false" customHeight="false" outlineLevel="0" collapsed="false">
      <c r="A4" s="22" t="s">
        <v>80</v>
      </c>
      <c r="B4" s="23" t="n">
        <f aca="false">'All results'!D13</f>
        <v>391.2</v>
      </c>
      <c r="C4" s="24" t="n">
        <f aca="false">'All results'!E13</f>
        <v>1</v>
      </c>
      <c r="D4" s="23" t="n">
        <f aca="false">'All results'!D9</f>
        <v>167.2</v>
      </c>
      <c r="E4" s="25" t="n">
        <f aca="false">B4/D4</f>
        <v>2.33971291866029</v>
      </c>
      <c r="F4" s="22" t="s">
        <v>81</v>
      </c>
      <c r="G4" s="22" t="s">
        <v>82</v>
      </c>
    </row>
    <row r="5" customFormat="false" ht="26.85" hidden="false" customHeight="false" outlineLevel="0" collapsed="false">
      <c r="A5" s="22" t="s">
        <v>83</v>
      </c>
      <c r="B5" s="23" t="n">
        <f aca="false">'All results'!D17</f>
        <v>287.8</v>
      </c>
      <c r="C5" s="24" t="n">
        <f aca="false">'All results'!E17</f>
        <v>1</v>
      </c>
      <c r="D5" s="23" t="n">
        <f aca="false">'All results'!D9</f>
        <v>167.2</v>
      </c>
      <c r="E5" s="25" t="n">
        <f aca="false">B5/D5</f>
        <v>1.72129186602871</v>
      </c>
      <c r="F5" s="22" t="s">
        <v>84</v>
      </c>
      <c r="G5" s="22" t="s">
        <v>85</v>
      </c>
    </row>
    <row r="6" customFormat="false" ht="26.85" hidden="false" customHeight="false" outlineLevel="0" collapsed="false">
      <c r="A6" s="22" t="s">
        <v>86</v>
      </c>
      <c r="B6" s="23" t="n">
        <f aca="false">'All results'!D12</f>
        <v>193.2</v>
      </c>
      <c r="C6" s="24" t="n">
        <f aca="false">'All results'!E12</f>
        <v>1</v>
      </c>
      <c r="D6" s="23" t="n">
        <f aca="false">'All results'!D10</f>
        <v>159.4</v>
      </c>
      <c r="E6" s="25" t="n">
        <f aca="false">B6/D6</f>
        <v>1.21204516938519</v>
      </c>
      <c r="F6" s="22" t="s">
        <v>87</v>
      </c>
      <c r="G6" s="22" t="s">
        <v>88</v>
      </c>
    </row>
    <row r="7" customFormat="false" ht="26.85" hidden="false" customHeight="false" outlineLevel="0" collapsed="false">
      <c r="A7" s="22" t="s">
        <v>89</v>
      </c>
      <c r="B7" s="23" t="n">
        <f aca="false">'All results'!D11</f>
        <v>193.8</v>
      </c>
      <c r="C7" s="24" t="n">
        <f aca="false">'All results'!E11</f>
        <v>0</v>
      </c>
      <c r="D7" s="23" t="n">
        <f aca="false">'All results'!D10</f>
        <v>159.4</v>
      </c>
      <c r="E7" s="25" t="n">
        <f aca="false">B7/D7</f>
        <v>1.21580928481807</v>
      </c>
      <c r="F7" s="22" t="s">
        <v>90</v>
      </c>
      <c r="G7" s="22" t="s">
        <v>91</v>
      </c>
    </row>
    <row r="9" customFormat="false" ht="15" hidden="false" customHeight="false" outlineLevel="0" collapsed="false">
      <c r="A9" s="2" t="s">
        <v>92</v>
      </c>
    </row>
    <row r="10" customFormat="false" ht="15" hidden="false" customHeight="false" outlineLevel="0" collapsed="false">
      <c r="A10" s="2" t="s">
        <v>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17.35" hidden="false" customHeight="false" outlineLevel="0" collapsed="false">
      <c r="A1" s="1" t="s">
        <v>94</v>
      </c>
    </row>
    <row r="3" customFormat="false" ht="15" hidden="false" customHeight="false" outlineLevel="0" collapsed="false">
      <c r="A3" s="26" t="s">
        <v>95</v>
      </c>
      <c r="B3" s="27"/>
    </row>
    <row r="4" customFormat="false" ht="26.85" hidden="false" customHeight="false" outlineLevel="0" collapsed="false">
      <c r="A4" s="28" t="s">
        <v>96</v>
      </c>
      <c r="B4" s="22" t="s">
        <v>97</v>
      </c>
    </row>
    <row r="5" customFormat="false" ht="15" hidden="false" customHeight="false" outlineLevel="0" collapsed="false">
      <c r="A5" s="28" t="s">
        <v>98</v>
      </c>
      <c r="B5" s="22" t="s">
        <v>99</v>
      </c>
    </row>
    <row r="6" customFormat="false" ht="15" hidden="false" customHeight="false" outlineLevel="0" collapsed="false">
      <c r="A6" s="28" t="s">
        <v>100</v>
      </c>
      <c r="B6" s="22" t="s">
        <v>101</v>
      </c>
    </row>
    <row r="7" customFormat="false" ht="15" hidden="false" customHeight="false" outlineLevel="0" collapsed="false">
      <c r="A7" s="28" t="s">
        <v>102</v>
      </c>
      <c r="B7" s="22" t="s">
        <v>103</v>
      </c>
    </row>
    <row r="8" customFormat="false" ht="15" hidden="false" customHeight="false" outlineLevel="0" collapsed="false">
      <c r="A8" s="28"/>
      <c r="B8" s="22"/>
    </row>
    <row r="9" customFormat="false" ht="15" hidden="false" customHeight="false" outlineLevel="0" collapsed="false">
      <c r="A9" s="26" t="s">
        <v>104</v>
      </c>
      <c r="B9" s="27"/>
    </row>
    <row r="10" customFormat="false" ht="26.85" hidden="false" customHeight="false" outlineLevel="0" collapsed="false">
      <c r="A10" s="28" t="s">
        <v>105</v>
      </c>
      <c r="B10" s="22" t="s">
        <v>106</v>
      </c>
    </row>
    <row r="11" customFormat="false" ht="15" hidden="false" customHeight="false" outlineLevel="0" collapsed="false">
      <c r="A11" s="28" t="s">
        <v>107</v>
      </c>
      <c r="B11" s="22" t="s">
        <v>108</v>
      </c>
    </row>
    <row r="12" customFormat="false" ht="15" hidden="false" customHeight="false" outlineLevel="0" collapsed="false">
      <c r="A12" s="28" t="s">
        <v>109</v>
      </c>
      <c r="B12" s="22" t="s">
        <v>110</v>
      </c>
    </row>
    <row r="13" customFormat="false" ht="15" hidden="false" customHeight="false" outlineLevel="0" collapsed="false">
      <c r="A13" s="28" t="s">
        <v>111</v>
      </c>
      <c r="B13" s="22" t="s">
        <v>112</v>
      </c>
    </row>
    <row r="14" customFormat="false" ht="15" hidden="false" customHeight="false" outlineLevel="0" collapsed="false">
      <c r="A14" s="28"/>
      <c r="B14" s="22"/>
    </row>
    <row r="15" customFormat="false" ht="15" hidden="false" customHeight="false" outlineLevel="0" collapsed="false">
      <c r="A15" s="26" t="s">
        <v>113</v>
      </c>
      <c r="B15" s="27"/>
    </row>
    <row r="16" customFormat="false" ht="15" hidden="false" customHeight="false" outlineLevel="0" collapsed="false">
      <c r="A16" s="28" t="s">
        <v>114</v>
      </c>
      <c r="B16" s="22" t="s">
        <v>115</v>
      </c>
    </row>
    <row r="17" customFormat="false" ht="26.85" hidden="false" customHeight="false" outlineLevel="0" collapsed="false">
      <c r="A17" s="28" t="s">
        <v>116</v>
      </c>
      <c r="B17" s="22" t="s">
        <v>117</v>
      </c>
    </row>
    <row r="18" customFormat="false" ht="15" hidden="false" customHeight="false" outlineLevel="0" collapsed="false">
      <c r="A18" s="28" t="s">
        <v>118</v>
      </c>
      <c r="B18" s="22" t="s">
        <v>119</v>
      </c>
    </row>
    <row r="19" customFormat="false" ht="15" hidden="false" customHeight="false" outlineLevel="0" collapsed="false">
      <c r="A19" s="28" t="s">
        <v>120</v>
      </c>
      <c r="B19" s="22" t="s">
        <v>121</v>
      </c>
    </row>
    <row r="20" customFormat="false" ht="15" hidden="false" customHeight="false" outlineLevel="0" collapsed="false">
      <c r="A20" s="28"/>
      <c r="B20" s="22"/>
    </row>
    <row r="21" customFormat="false" ht="15" hidden="false" customHeight="false" outlineLevel="0" collapsed="false">
      <c r="A21" s="26" t="s">
        <v>122</v>
      </c>
      <c r="B21" s="27"/>
    </row>
    <row r="22" customFormat="false" ht="39.55" hidden="false" customHeight="false" outlineLevel="0" collapsed="false">
      <c r="A22" s="28" t="s">
        <v>123</v>
      </c>
      <c r="B22" s="22" t="s">
        <v>124</v>
      </c>
    </row>
    <row r="23" customFormat="false" ht="15" hidden="false" customHeight="false" outlineLevel="0" collapsed="false">
      <c r="A23" s="28" t="s">
        <v>125</v>
      </c>
      <c r="B23" s="22" t="s">
        <v>126</v>
      </c>
    </row>
    <row r="24" customFormat="false" ht="15" hidden="false" customHeight="false" outlineLevel="0" collapsed="false">
      <c r="A24" s="28" t="s">
        <v>127</v>
      </c>
      <c r="B24" s="22" t="s">
        <v>128</v>
      </c>
    </row>
    <row r="25" customFormat="false" ht="15" hidden="false" customHeight="false" outlineLevel="0" collapsed="false">
      <c r="A25" s="28" t="s">
        <v>129</v>
      </c>
      <c r="B25" s="22" t="s">
        <v>130</v>
      </c>
    </row>
    <row r="26" customFormat="false" ht="15" hidden="false" customHeight="false" outlineLevel="0" collapsed="false">
      <c r="A26" s="28"/>
      <c r="B26" s="22"/>
    </row>
    <row r="27" customFormat="false" ht="15" hidden="false" customHeight="false" outlineLevel="0" collapsed="false">
      <c r="A27" s="26" t="s">
        <v>131</v>
      </c>
      <c r="B27" s="27"/>
    </row>
    <row r="28" customFormat="false" ht="15" hidden="false" customHeight="false" outlineLevel="0" collapsed="false">
      <c r="A28" s="28" t="s">
        <v>132</v>
      </c>
      <c r="B28" s="22" t="s">
        <v>133</v>
      </c>
    </row>
    <row r="29" customFormat="false" ht="39.55" hidden="false" customHeight="false" outlineLevel="0" collapsed="false">
      <c r="A29" s="28" t="s">
        <v>134</v>
      </c>
      <c r="B29" s="22" t="s">
        <v>135</v>
      </c>
    </row>
    <row r="30" customFormat="false" ht="15" hidden="false" customHeight="false" outlineLevel="0" collapsed="false">
      <c r="A30" s="28" t="s">
        <v>136</v>
      </c>
      <c r="B30" s="22" t="s">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2026-10-15T17:39:37Z</dcterms:created>
  <dc:creator>openpyxl</dc:creator>
  <dc:description/>
  <dc:language>en-US</dc:language>
  <cp:lastModifiedBy/>
  <dcterms:modified xsi:type="dcterms:W3CDTF">2026-10-15T17:39:37Z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